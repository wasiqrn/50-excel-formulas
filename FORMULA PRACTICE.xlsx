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a80e4cbb575ec5/Documents/"/>
    </mc:Choice>
  </mc:AlternateContent>
  <xr:revisionPtr revIDLastSave="0" documentId="8_{4D3B7386-0C5F-47AF-A71E-B4B1FF025F6E}" xr6:coauthVersionLast="47" xr6:coauthVersionMax="47" xr10:uidLastSave="{00000000-0000-0000-0000-000000000000}"/>
  <bookViews>
    <workbookView xWindow="-108" yWindow="-108" windowWidth="23256" windowHeight="12456" xr2:uid="{B3870BF7-753B-4862-A54D-03B689F0A08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" i="1" l="1"/>
  <c r="M6" i="1"/>
  <c r="M5" i="1"/>
  <c r="M4" i="1"/>
  <c r="J15" i="1" a="1"/>
  <c r="J15" i="1" s="1"/>
  <c r="E20" i="1"/>
  <c r="B20" i="1"/>
  <c r="E21" i="1" s="1"/>
  <c r="J14" i="1"/>
  <c r="J13" i="1"/>
  <c r="H19" i="1"/>
  <c r="H18" i="1"/>
  <c r="H17" i="1"/>
  <c r="H16" i="1"/>
  <c r="H15" i="1"/>
  <c r="H14" i="1"/>
  <c r="H13" i="1"/>
  <c r="E19" i="1"/>
  <c r="E18" i="1"/>
  <c r="E17" i="1"/>
  <c r="E16" i="1"/>
  <c r="E15" i="1"/>
  <c r="E14" i="1"/>
  <c r="E13" i="1"/>
  <c r="B13" i="1"/>
  <c r="B19" i="1"/>
  <c r="B18" i="1"/>
  <c r="B17" i="1"/>
  <c r="B16" i="1"/>
  <c r="B15" i="1"/>
  <c r="B14" i="1"/>
  <c r="H20" i="1" l="1"/>
  <c r="H21" i="1"/>
  <c r="B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<sst xmlns="http://schemas.openxmlformats.org/spreadsheetml/2006/main" count="176" uniqueCount="67">
  <si>
    <t>Order_ID</t>
  </si>
  <si>
    <t>Date</t>
  </si>
  <si>
    <t>Customer</t>
  </si>
  <si>
    <t>City</t>
  </si>
  <si>
    <t>Product</t>
  </si>
  <si>
    <t>Category</t>
  </si>
  <si>
    <t>Quantity</t>
  </si>
  <si>
    <t>Price</t>
  </si>
  <si>
    <t>Salesperson</t>
  </si>
  <si>
    <t>Status</t>
  </si>
  <si>
    <t>Ali</t>
  </si>
  <si>
    <t>Delhi</t>
  </si>
  <si>
    <t>Laptop</t>
  </si>
  <si>
    <t>Electronics</t>
  </si>
  <si>
    <t>Ahmed</t>
  </si>
  <si>
    <t>Delivered</t>
  </si>
  <si>
    <t>Sara</t>
  </si>
  <si>
    <t>Lucknow</t>
  </si>
  <si>
    <t>Phone</t>
  </si>
  <si>
    <t>Zaid</t>
  </si>
  <si>
    <t>John</t>
  </si>
  <si>
    <t>Tablet</t>
  </si>
  <si>
    <t>Pending</t>
  </si>
  <si>
    <t>Fatima</t>
  </si>
  <si>
    <t>Mumbai</t>
  </si>
  <si>
    <t>Printer</t>
  </si>
  <si>
    <t>Umar</t>
  </si>
  <si>
    <t>Cancelled</t>
  </si>
  <si>
    <t>Ayesha</t>
  </si>
  <si>
    <t>Bilal</t>
  </si>
  <si>
    <t>Noor</t>
  </si>
  <si>
    <t>Hamza</t>
  </si>
  <si>
    <t>Zoya</t>
  </si>
  <si>
    <t>SUM</t>
  </si>
  <si>
    <t>AVERAGE</t>
  </si>
  <si>
    <t>COUNT</t>
  </si>
  <si>
    <t>COUNTA</t>
  </si>
  <si>
    <t>COUNTBLANK</t>
  </si>
  <si>
    <t>MAX</t>
  </si>
  <si>
    <t>MIN</t>
  </si>
  <si>
    <t>ROUND</t>
  </si>
  <si>
    <t>ROUNDUP</t>
  </si>
  <si>
    <t>ROUNDDOWN</t>
  </si>
  <si>
    <t>SUMIF</t>
  </si>
  <si>
    <t>SUMIFS</t>
  </si>
  <si>
    <t>COUNTIFS</t>
  </si>
  <si>
    <t>COUNTIF(Delhi)</t>
  </si>
  <si>
    <t>LEFT</t>
  </si>
  <si>
    <t>RIGHT</t>
  </si>
  <si>
    <t>MID</t>
  </si>
  <si>
    <t>LEN</t>
  </si>
  <si>
    <t>TRIM</t>
  </si>
  <si>
    <t>CONCATINATE</t>
  </si>
  <si>
    <t>UPPER</t>
  </si>
  <si>
    <t>LOWER</t>
  </si>
  <si>
    <t>PROPER</t>
  </si>
  <si>
    <t>TODAY</t>
  </si>
  <si>
    <t>NOW</t>
  </si>
  <si>
    <t>YEAR</t>
  </si>
  <si>
    <t>MONTH</t>
  </si>
  <si>
    <t>DAY</t>
  </si>
  <si>
    <t>TEXT</t>
  </si>
  <si>
    <t>UNIQUE</t>
  </si>
  <si>
    <t>VLLOKUP</t>
  </si>
  <si>
    <t>HLOOKUP</t>
  </si>
  <si>
    <t>XLOOKUP</t>
  </si>
  <si>
    <t>INDEX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</si>
</sst>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22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7C5F-3390-403A-A4F3-CEE77A0CA7A3}">
  <dimension ref="A1:M21"/>
  <sheetViews>
    <sheetView tabSelected="1" workbookViewId="0">
      <selection activeCell="G10" sqref="G10"/>
    </sheetView>
  </sheetViews>
  <sheetFormatPr defaultColWidth="15.77734375" defaultRowHeight="14.4" x14ac:dyDescent="0.3"/>
  <sheetData>
    <row r="1" spans="1: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3" x14ac:dyDescent="0.3">
      <c r="A2" s="1">
        <v>1001</v>
      </c>
      <c r="B2" s="3">
        <v>45292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2</v>
      </c>
      <c r="H2" s="1">
        <v>50000</v>
      </c>
      <c r="I2" s="1" t="s">
        <v>14</v>
      </c>
      <c r="J2" s="1" t="s">
        <v>15</v>
      </c>
    </row>
    <row r="3" spans="1:13" x14ac:dyDescent="0.3">
      <c r="A3" s="1">
        <v>1002</v>
      </c>
      <c r="B3" s="3">
        <v>45293</v>
      </c>
      <c r="C3" s="1" t="s">
        <v>16</v>
      </c>
      <c r="D3" s="1" t="s">
        <v>17</v>
      </c>
      <c r="E3" s="1" t="s">
        <v>18</v>
      </c>
      <c r="F3" s="1" t="s">
        <v>13</v>
      </c>
      <c r="G3" s="1">
        <v>3</v>
      </c>
      <c r="H3" s="1">
        <v>20000</v>
      </c>
      <c r="I3" s="1" t="s">
        <v>19</v>
      </c>
      <c r="J3" s="1" t="s">
        <v>15</v>
      </c>
      <c r="L3" s="4" t="s">
        <v>0</v>
      </c>
      <c r="M3" s="4" t="s">
        <v>7</v>
      </c>
    </row>
    <row r="4" spans="1:13" x14ac:dyDescent="0.3">
      <c r="A4" s="1">
        <v>1003</v>
      </c>
      <c r="B4" s="3">
        <v>45294</v>
      </c>
      <c r="C4" s="1" t="s">
        <v>20</v>
      </c>
      <c r="D4" s="1" t="s">
        <v>11</v>
      </c>
      <c r="E4" s="1" t="s">
        <v>21</v>
      </c>
      <c r="F4" s="1" t="s">
        <v>13</v>
      </c>
      <c r="G4" s="1">
        <v>1</v>
      </c>
      <c r="H4" s="1">
        <v>30000</v>
      </c>
      <c r="I4" s="1" t="s">
        <v>14</v>
      </c>
      <c r="J4" s="1" t="s">
        <v>22</v>
      </c>
      <c r="K4" s="6" t="s">
        <v>63</v>
      </c>
      <c r="L4" s="1">
        <v>1001</v>
      </c>
      <c r="M4">
        <f>VLOOKUP(L4,A1:J11,8,TRUE)</f>
        <v>50000</v>
      </c>
    </row>
    <row r="5" spans="1:13" x14ac:dyDescent="0.3">
      <c r="A5" s="1">
        <v>1004</v>
      </c>
      <c r="B5" s="3">
        <v>45295</v>
      </c>
      <c r="C5" s="1" t="s">
        <v>23</v>
      </c>
      <c r="D5" s="1" t="s">
        <v>24</v>
      </c>
      <c r="E5" s="1" t="s">
        <v>25</v>
      </c>
      <c r="F5" s="1" t="s">
        <v>13</v>
      </c>
      <c r="G5" s="1">
        <v>4</v>
      </c>
      <c r="H5" s="1">
        <v>15000</v>
      </c>
      <c r="I5" s="1" t="s">
        <v>19</v>
      </c>
      <c r="J5" s="1" t="s">
        <v>15</v>
      </c>
      <c r="K5" s="6" t="s">
        <v>64</v>
      </c>
      <c r="L5">
        <v>1004</v>
      </c>
      <c r="M5">
        <f>HLOOKUP(L5,Sheet2!A1:K10,8,TRUE)</f>
        <v>15000</v>
      </c>
    </row>
    <row r="6" spans="1:13" x14ac:dyDescent="0.3">
      <c r="A6" s="1">
        <v>1005</v>
      </c>
      <c r="B6" s="3">
        <v>45296</v>
      </c>
      <c r="C6" s="1" t="s">
        <v>26</v>
      </c>
      <c r="D6" s="1" t="s">
        <v>11</v>
      </c>
      <c r="E6" s="1" t="s">
        <v>12</v>
      </c>
      <c r="F6" s="1" t="s">
        <v>13</v>
      </c>
      <c r="G6" s="1">
        <v>1</v>
      </c>
      <c r="H6" s="1">
        <v>52000</v>
      </c>
      <c r="I6" s="1" t="s">
        <v>14</v>
      </c>
      <c r="J6" s="1" t="s">
        <v>27</v>
      </c>
      <c r="K6" s="6" t="s">
        <v>65</v>
      </c>
      <c r="L6">
        <v>1008</v>
      </c>
      <c r="M6">
        <f>_xlfn.XLOOKUP(L6,A2:A11,H2:H11)</f>
        <v>16000</v>
      </c>
    </row>
    <row r="7" spans="1:13" x14ac:dyDescent="0.3">
      <c r="A7" s="1">
        <v>1006</v>
      </c>
      <c r="B7" s="3">
        <v>45297</v>
      </c>
      <c r="C7" s="1" t="s">
        <v>28</v>
      </c>
      <c r="D7" s="1" t="s">
        <v>17</v>
      </c>
      <c r="E7" s="1" t="s">
        <v>18</v>
      </c>
      <c r="F7" s="1" t="s">
        <v>13</v>
      </c>
      <c r="G7" s="1">
        <v>2</v>
      </c>
      <c r="H7" s="1">
        <v>21000</v>
      </c>
      <c r="I7" s="1" t="s">
        <v>19</v>
      </c>
      <c r="J7" s="1" t="s">
        <v>15</v>
      </c>
      <c r="K7" s="6" t="s">
        <v>66</v>
      </c>
      <c r="L7">
        <v>1005</v>
      </c>
      <c r="M7">
        <f>INDEX(H2:H11,MATCH(L7,A2:A11,0))</f>
        <v>52000</v>
      </c>
    </row>
    <row r="8" spans="1:13" x14ac:dyDescent="0.3">
      <c r="A8" s="1">
        <v>1007</v>
      </c>
      <c r="B8" s="3">
        <v>45298</v>
      </c>
      <c r="C8" s="1" t="s">
        <v>29</v>
      </c>
      <c r="D8" s="1" t="s">
        <v>24</v>
      </c>
      <c r="E8" s="1" t="s">
        <v>21</v>
      </c>
      <c r="F8" s="1" t="s">
        <v>13</v>
      </c>
      <c r="G8" s="1">
        <v>3</v>
      </c>
      <c r="H8" s="1">
        <v>28000</v>
      </c>
      <c r="I8" s="1" t="s">
        <v>14</v>
      </c>
      <c r="J8" s="1" t="s">
        <v>15</v>
      </c>
      <c r="K8" s="6"/>
    </row>
    <row r="9" spans="1:13" x14ac:dyDescent="0.3">
      <c r="A9" s="1">
        <v>1008</v>
      </c>
      <c r="B9" s="3">
        <v>45299</v>
      </c>
      <c r="C9" s="1" t="s">
        <v>30</v>
      </c>
      <c r="D9" s="1" t="s">
        <v>11</v>
      </c>
      <c r="E9" s="1" t="s">
        <v>25</v>
      </c>
      <c r="F9" s="1" t="s">
        <v>13</v>
      </c>
      <c r="G9" s="1">
        <v>1</v>
      </c>
      <c r="H9" s="1">
        <v>16000</v>
      </c>
      <c r="I9" s="1" t="s">
        <v>19</v>
      </c>
      <c r="J9" s="1" t="s">
        <v>22</v>
      </c>
      <c r="K9" s="6"/>
    </row>
    <row r="10" spans="1:13" x14ac:dyDescent="0.3">
      <c r="A10" s="1">
        <v>1009</v>
      </c>
      <c r="B10" s="3">
        <v>45300</v>
      </c>
      <c r="C10" s="1" t="s">
        <v>31</v>
      </c>
      <c r="D10" s="1" t="s">
        <v>17</v>
      </c>
      <c r="E10" s="1" t="s">
        <v>12</v>
      </c>
      <c r="F10" s="1" t="s">
        <v>13</v>
      </c>
      <c r="G10" s="1">
        <v>2</v>
      </c>
      <c r="H10" s="1">
        <v>51000</v>
      </c>
      <c r="I10" s="1" t="s">
        <v>14</v>
      </c>
      <c r="J10" s="1" t="s">
        <v>15</v>
      </c>
      <c r="K10" s="6"/>
    </row>
    <row r="11" spans="1:13" x14ac:dyDescent="0.3">
      <c r="A11" s="1">
        <v>1010</v>
      </c>
      <c r="B11" s="3">
        <v>45301</v>
      </c>
      <c r="C11" s="1" t="s">
        <v>32</v>
      </c>
      <c r="D11" s="1" t="s">
        <v>24</v>
      </c>
      <c r="E11" s="1" t="s">
        <v>18</v>
      </c>
      <c r="F11" s="1" t="s">
        <v>13</v>
      </c>
      <c r="G11" s="1">
        <v>5</v>
      </c>
      <c r="H11" s="1">
        <v>19500</v>
      </c>
      <c r="I11" s="1" t="s">
        <v>19</v>
      </c>
      <c r="J11" s="1" t="s">
        <v>15</v>
      </c>
      <c r="K11" s="6"/>
    </row>
    <row r="13" spans="1:13" x14ac:dyDescent="0.3">
      <c r="A13" s="5" t="s">
        <v>33</v>
      </c>
      <c r="B13">
        <f>SUM(H2:H11)</f>
        <v>302500</v>
      </c>
      <c r="D13" s="6" t="s">
        <v>40</v>
      </c>
      <c r="E13">
        <f>ROUND(F13,2)</f>
        <v>2076.77</v>
      </c>
      <c r="F13">
        <v>2076.7654000000002</v>
      </c>
      <c r="G13" s="5" t="s">
        <v>47</v>
      </c>
      <c r="H13" t="str">
        <f>LEFT(D2,2)</f>
        <v>De</v>
      </c>
      <c r="I13" s="6" t="s">
        <v>54</v>
      </c>
      <c r="J13" t="str">
        <f>LOWER(H19)</f>
        <v>delhi</v>
      </c>
    </row>
    <row r="14" spans="1:13" x14ac:dyDescent="0.3">
      <c r="A14" s="5" t="s">
        <v>34</v>
      </c>
      <c r="B14">
        <f>AVERAGE(H2:H11)</f>
        <v>30250</v>
      </c>
      <c r="D14" s="6" t="s">
        <v>41</v>
      </c>
      <c r="E14">
        <f>ROUNDUP(F13,2)</f>
        <v>2076.7700000000004</v>
      </c>
      <c r="G14" s="5" t="s">
        <v>48</v>
      </c>
      <c r="H14" t="str">
        <f>RIGHT("Delhi",2)</f>
        <v>hi</v>
      </c>
      <c r="I14" s="6" t="s">
        <v>55</v>
      </c>
      <c r="J14" t="str">
        <f>PROPER(J13)</f>
        <v>Delhi</v>
      </c>
    </row>
    <row r="15" spans="1:13" x14ac:dyDescent="0.3">
      <c r="A15" s="5" t="s">
        <v>35</v>
      </c>
      <c r="B15">
        <f>COUNT(H2:H11)</f>
        <v>10</v>
      </c>
      <c r="D15" s="6" t="s">
        <v>42</v>
      </c>
      <c r="E15">
        <f>ROUNDDOWN(F13,2)</f>
        <v>2076.7600000000002</v>
      </c>
      <c r="G15" s="5" t="s">
        <v>49</v>
      </c>
      <c r="H15" t="str">
        <f>MID("Delhi",3,1)</f>
        <v>l</v>
      </c>
      <c r="I15" s="6" t="s">
        <v>62</v>
      </c>
      <c r="J15" t="str" cm="1">
        <f t="array" ref="J15:J17">_xlfn.UNIQUE(D2:D11)</f>
        <v>Delhi</v>
      </c>
    </row>
    <row r="16" spans="1:13" x14ac:dyDescent="0.3">
      <c r="A16" s="5" t="s">
        <v>36</v>
      </c>
      <c r="B16">
        <f>COUNTA(D2:D11)</f>
        <v>10</v>
      </c>
      <c r="D16" s="6" t="s">
        <v>43</v>
      </c>
      <c r="E16">
        <f>SUMIF(D2:D11,"Delhi",H2:H11)</f>
        <v>148000</v>
      </c>
      <c r="G16" s="5" t="s">
        <v>50</v>
      </c>
      <c r="H16">
        <f>LEN("Delhi")</f>
        <v>5</v>
      </c>
      <c r="I16" s="1"/>
      <c r="J16" t="str">
        <v>Lucknow</v>
      </c>
    </row>
    <row r="17" spans="1:10" x14ac:dyDescent="0.3">
      <c r="A17" s="5" t="s">
        <v>37</v>
      </c>
      <c r="B17">
        <f>COUNTBLANK(D2:D11)</f>
        <v>0</v>
      </c>
      <c r="D17" s="6" t="s">
        <v>44</v>
      </c>
      <c r="E17">
        <f>SUMIFS(H2:H11,D2:D11,"Delhi",E2:E11,"Tablet")</f>
        <v>30000</v>
      </c>
      <c r="G17" s="5" t="s">
        <v>51</v>
      </c>
      <c r="H17" t="str">
        <f>TRIM("Delhi")</f>
        <v>Delhi</v>
      </c>
      <c r="J17" t="str">
        <v>Mumbai</v>
      </c>
    </row>
    <row r="18" spans="1:10" x14ac:dyDescent="0.3">
      <c r="A18" s="5" t="s">
        <v>38</v>
      </c>
      <c r="B18">
        <f>MAX(H2:H11)</f>
        <v>52000</v>
      </c>
      <c r="D18" s="6" t="s">
        <v>46</v>
      </c>
      <c r="E18">
        <f>COUNTIF(D2:D11,"Delhi")</f>
        <v>4</v>
      </c>
      <c r="G18" s="5" t="s">
        <v>52</v>
      </c>
      <c r="H18" t="str">
        <f>CONCATENATE(H13,H15,H14)</f>
        <v>Delhi</v>
      </c>
    </row>
    <row r="19" spans="1:10" x14ac:dyDescent="0.3">
      <c r="A19" s="5" t="s">
        <v>39</v>
      </c>
      <c r="B19">
        <f>MIN(H2:H11)</f>
        <v>15000</v>
      </c>
      <c r="D19" s="6" t="s">
        <v>45</v>
      </c>
      <c r="E19">
        <f>COUNTIFS(D2:D11,"Delhi",E2:E11,"Printer")</f>
        <v>1</v>
      </c>
      <c r="G19" s="5" t="s">
        <v>53</v>
      </c>
      <c r="H19" t="str">
        <f>UPPER(H18)</f>
        <v>DELHI</v>
      </c>
    </row>
    <row r="20" spans="1:10" x14ac:dyDescent="0.3">
      <c r="A20" s="8" t="s">
        <v>56</v>
      </c>
      <c r="B20" s="2">
        <f ca="1">TODAY()</f>
        <v>46092</v>
      </c>
      <c r="D20" s="6" t="s">
        <v>57</v>
      </c>
      <c r="E20" s="7">
        <f ca="1">NOW()</f>
        <v>46092.624778935184</v>
      </c>
      <c r="G20" s="5" t="s">
        <v>61</v>
      </c>
      <c r="H20" t="str">
        <f ca="1">TEXT(B20,"MMMM")</f>
        <v>March</v>
      </c>
    </row>
    <row r="21" spans="1:10" x14ac:dyDescent="0.3">
      <c r="A21" s="5" t="s">
        <v>58</v>
      </c>
      <c r="B21">
        <f ca="1">YEAR(B20)</f>
        <v>2026</v>
      </c>
      <c r="D21" s="6" t="s">
        <v>59</v>
      </c>
      <c r="E21">
        <f ca="1">MONTH(B20)</f>
        <v>3</v>
      </c>
      <c r="G21" s="5" t="s">
        <v>60</v>
      </c>
      <c r="H21">
        <f ca="1">DAY(B20)</f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D0D1-CBDA-4340-B1E4-E6E8A7F2C075}">
  <dimension ref="A1:K10"/>
  <sheetViews>
    <sheetView workbookViewId="0">
      <selection activeCell="N8" sqref="N8"/>
    </sheetView>
  </sheetViews>
  <sheetFormatPr defaultRowHeight="14.4" x14ac:dyDescent="0.3"/>
  <sheetData>
    <row r="1" spans="1:11" x14ac:dyDescent="0.3">
      <c r="A1" s="4" t="s">
        <v>0</v>
      </c>
      <c r="B1" s="1">
        <v>1001</v>
      </c>
      <c r="C1" s="1">
        <v>1002</v>
      </c>
      <c r="D1" s="1">
        <v>1003</v>
      </c>
      <c r="E1" s="1">
        <v>1004</v>
      </c>
      <c r="F1" s="1">
        <v>1005</v>
      </c>
      <c r="G1" s="1">
        <v>1006</v>
      </c>
      <c r="H1" s="1">
        <v>1007</v>
      </c>
      <c r="I1" s="1">
        <v>1008</v>
      </c>
      <c r="J1" s="1">
        <v>1009</v>
      </c>
      <c r="K1" s="1">
        <v>1010</v>
      </c>
    </row>
    <row r="2" spans="1:11" x14ac:dyDescent="0.3">
      <c r="A2" s="4" t="s">
        <v>1</v>
      </c>
      <c r="B2" s="3">
        <v>45292</v>
      </c>
      <c r="C2" s="3">
        <v>45293</v>
      </c>
      <c r="D2" s="3">
        <v>45294</v>
      </c>
      <c r="E2" s="3">
        <v>45295</v>
      </c>
      <c r="F2" s="3">
        <v>45296</v>
      </c>
      <c r="G2" s="3">
        <v>45297</v>
      </c>
      <c r="H2" s="3">
        <v>45298</v>
      </c>
      <c r="I2" s="3">
        <v>45299</v>
      </c>
      <c r="J2" s="3">
        <v>45300</v>
      </c>
      <c r="K2" s="3">
        <v>45301</v>
      </c>
    </row>
    <row r="3" spans="1:11" ht="28.8" x14ac:dyDescent="0.3">
      <c r="A3" s="4" t="s">
        <v>2</v>
      </c>
      <c r="B3" s="1" t="s">
        <v>10</v>
      </c>
      <c r="C3" s="1" t="s">
        <v>16</v>
      </c>
      <c r="D3" s="1" t="s">
        <v>20</v>
      </c>
      <c r="E3" s="1" t="s">
        <v>23</v>
      </c>
      <c r="F3" s="1" t="s">
        <v>26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</row>
    <row r="4" spans="1:11" x14ac:dyDescent="0.3">
      <c r="A4" s="4" t="s">
        <v>3</v>
      </c>
      <c r="B4" s="1" t="s">
        <v>11</v>
      </c>
      <c r="C4" s="1" t="s">
        <v>17</v>
      </c>
      <c r="D4" s="1" t="s">
        <v>11</v>
      </c>
      <c r="E4" s="1" t="s">
        <v>24</v>
      </c>
      <c r="F4" s="1" t="s">
        <v>11</v>
      </c>
      <c r="G4" s="1" t="s">
        <v>17</v>
      </c>
      <c r="H4" s="1" t="s">
        <v>24</v>
      </c>
      <c r="I4" s="1" t="s">
        <v>11</v>
      </c>
      <c r="J4" s="1" t="s">
        <v>17</v>
      </c>
      <c r="K4" s="1" t="s">
        <v>24</v>
      </c>
    </row>
    <row r="5" spans="1:11" x14ac:dyDescent="0.3">
      <c r="A5" s="4" t="s">
        <v>4</v>
      </c>
      <c r="B5" s="1" t="s">
        <v>12</v>
      </c>
      <c r="C5" s="1" t="s">
        <v>18</v>
      </c>
      <c r="D5" s="1" t="s">
        <v>21</v>
      </c>
      <c r="E5" s="1" t="s">
        <v>25</v>
      </c>
      <c r="F5" s="1" t="s">
        <v>12</v>
      </c>
      <c r="G5" s="1" t="s">
        <v>18</v>
      </c>
      <c r="H5" s="1" t="s">
        <v>21</v>
      </c>
      <c r="I5" s="1" t="s">
        <v>25</v>
      </c>
      <c r="J5" s="1" t="s">
        <v>12</v>
      </c>
      <c r="K5" s="1" t="s">
        <v>18</v>
      </c>
    </row>
    <row r="6" spans="1:11" ht="28.8" x14ac:dyDescent="0.3">
      <c r="A6" s="4" t="s">
        <v>5</v>
      </c>
      <c r="B6" s="1" t="s">
        <v>13</v>
      </c>
      <c r="C6" s="1" t="s">
        <v>13</v>
      </c>
      <c r="D6" s="1" t="s">
        <v>13</v>
      </c>
      <c r="E6" s="1" t="s">
        <v>13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3">
      <c r="A7" s="4" t="s">
        <v>6</v>
      </c>
      <c r="B7" s="1">
        <v>2</v>
      </c>
      <c r="C7" s="1">
        <v>3</v>
      </c>
      <c r="D7" s="1">
        <v>1</v>
      </c>
      <c r="E7" s="1">
        <v>4</v>
      </c>
      <c r="F7" s="1">
        <v>1</v>
      </c>
      <c r="G7" s="1">
        <v>2</v>
      </c>
      <c r="H7" s="1">
        <v>3</v>
      </c>
      <c r="I7" s="1">
        <v>1</v>
      </c>
      <c r="J7" s="1">
        <v>2</v>
      </c>
      <c r="K7" s="1">
        <v>5</v>
      </c>
    </row>
    <row r="8" spans="1:11" x14ac:dyDescent="0.3">
      <c r="A8" s="4" t="s">
        <v>7</v>
      </c>
      <c r="B8" s="1">
        <v>50000</v>
      </c>
      <c r="C8" s="1">
        <v>20000</v>
      </c>
      <c r="D8" s="1">
        <v>30000</v>
      </c>
      <c r="E8" s="1">
        <v>15000</v>
      </c>
      <c r="F8" s="1">
        <v>52000</v>
      </c>
      <c r="G8" s="1">
        <v>21000</v>
      </c>
      <c r="H8" s="1">
        <v>28000</v>
      </c>
      <c r="I8" s="1">
        <v>16000</v>
      </c>
      <c r="J8" s="1">
        <v>51000</v>
      </c>
      <c r="K8" s="1">
        <v>19500</v>
      </c>
    </row>
    <row r="9" spans="1:11" ht="28.8" x14ac:dyDescent="0.3">
      <c r="A9" s="4" t="s">
        <v>8</v>
      </c>
      <c r="B9" s="1" t="s">
        <v>14</v>
      </c>
      <c r="C9" s="1" t="s">
        <v>19</v>
      </c>
      <c r="D9" s="1" t="s">
        <v>14</v>
      </c>
      <c r="E9" s="1" t="s">
        <v>19</v>
      </c>
      <c r="F9" s="1" t="s">
        <v>14</v>
      </c>
      <c r="G9" s="1" t="s">
        <v>19</v>
      </c>
      <c r="H9" s="1" t="s">
        <v>14</v>
      </c>
      <c r="I9" s="1" t="s">
        <v>19</v>
      </c>
      <c r="J9" s="1" t="s">
        <v>14</v>
      </c>
      <c r="K9" s="1" t="s">
        <v>19</v>
      </c>
    </row>
    <row r="10" spans="1:11" ht="28.8" x14ac:dyDescent="0.3">
      <c r="A10" s="4" t="s">
        <v>9</v>
      </c>
      <c r="B10" s="1" t="s">
        <v>15</v>
      </c>
      <c r="C10" s="1" t="s">
        <v>15</v>
      </c>
      <c r="D10" s="1" t="s">
        <v>22</v>
      </c>
      <c r="E10" s="1" t="s">
        <v>15</v>
      </c>
      <c r="F10" s="1" t="s">
        <v>27</v>
      </c>
      <c r="G10" s="1" t="s">
        <v>15</v>
      </c>
      <c r="H10" s="1" t="s">
        <v>15</v>
      </c>
      <c r="I10" s="1" t="s">
        <v>22</v>
      </c>
      <c r="J10" s="1" t="s">
        <v>15</v>
      </c>
      <c r="K10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Sadique Raiyan</dc:creator>
  <cp:lastModifiedBy>Sadique Raiyan</cp:lastModifiedBy>
  <dcterms:created xsi:type="dcterms:W3CDTF">2026-03-11T08:58:31Z</dcterms:created>
  <dcterms:modified xsi:type="dcterms:W3CDTF">2026-03-11T09:30:22Z</dcterms:modified>
</cp:coreProperties>
</file>